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" sheetId="1" r:id="rId5"/>
  </sheets>
  <definedNames/>
  <calcPr/>
</workbook>
</file>

<file path=xl/sharedStrings.xml><?xml version="1.0" encoding="utf-8"?>
<sst xmlns="http://schemas.openxmlformats.org/spreadsheetml/2006/main" count="5" uniqueCount="5">
  <si>
    <t>Tipo de búsqueda</t>
  </si>
  <si>
    <t>Cool Boy</t>
  </si>
  <si>
    <t>Total combinaciones C(N,n)</t>
  </si>
  <si>
    <t>Total de cartas en el mazo al realizar la busqueda + Securities desconocidas restantes.</t>
  </si>
  <si>
    <t>Resto de cartas que no son hit.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</si>
</sst>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0.0"/>
      <color rgb="FF000000"/>
      <name val="Arial"/>
      <scheme val="minor"/>
    </font>
    <font>
      <color theme="1"/>
      <name val="Arial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3" numFmtId="0" xfId="0" applyBorder="1" applyFont="1"/>
    <xf borderId="1" fillId="4" fontId="1" numFmtId="0" xfId="0" applyAlignment="1" applyBorder="1" applyFill="1" applyFont="1">
      <alignment horizontal="right" readingOrder="0" vertical="bottom"/>
    </xf>
    <xf borderId="1" fillId="0" fontId="3" numFmtId="0" xfId="0" applyAlignment="1" applyBorder="1" applyFont="1">
      <alignment readingOrder="0"/>
    </xf>
    <xf borderId="1" fillId="0" fontId="3" numFmtId="164" xfId="0" applyBorder="1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>
        <color rgb="FFFFFFFF"/>
      </font>
      <fill>
        <patternFill patternType="none"/>
      </fill>
      <border/>
    </dxf>
    <dxf>
      <font>
        <color rgb="FFE0F7FA"/>
      </font>
      <fill>
        <patternFill patternType="none"/>
      </fill>
      <border/>
    </dxf>
  </dxfs>
  <tableStyles count="1">
    <tableStyle count="3" pivot="0" name="Calculador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2" displayName="Table_1" name="Table_1" id="1">
  <tableColumns count="2">
    <tableColumn name="Tipo de búsqueda" id="1"/>
    <tableColumn name="Cool Boy" id="2"/>
  </tableColumns>
  <tableStyleInfo name="Calculado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38"/>
    <col customWidth="1" min="2" max="2" width="18.13"/>
  </cols>
  <sheetData>
    <row r="1">
      <c r="A1" s="1" t="s">
        <v>0</v>
      </c>
      <c r="B1" s="2" t="s">
        <v>1</v>
      </c>
      <c r="D1" s="3" t="s">
        <v>2</v>
      </c>
      <c r="E1" s="4">
        <f>COMBIN(B3, B6)</f>
        <v>14190</v>
      </c>
    </row>
    <row r="2">
      <c r="A2" s="5"/>
      <c r="B2" s="6">
        <v>3.0</v>
      </c>
    </row>
    <row r="3">
      <c r="A3" s="7" t="s">
        <v>3</v>
      </c>
      <c r="B3" s="7">
        <v>45.0</v>
      </c>
    </row>
    <row r="4">
      <c r="A4" s="7" t="str">
        <f>IF(B1="Cool Boy", "Número de cartas X Antibody restantes en Deck.", IF(B1="Training", "Número de cartas del color del Training.", IF(B1="Memory Boost", "Número de Digimon del color de la Option en el Deck.", IF(B1= "Memory Boost Dual","Número de Digimon del color de la Option en el Deck." , "Número de cartas deseadas en el Deck."))))</f>
        <v>Número de cartas X Antibody restantes en Deck.</v>
      </c>
      <c r="B4" s="7">
        <v>4.0</v>
      </c>
    </row>
    <row r="5">
      <c r="A5" s="7" t="str">
        <f>IF(B1="Cool Boy", "Numero de Option con trait X Antibody restantes en Deck.",IF(B1="Elige otro número", "Segundo tipo de carta (Si aplica)", " "))</f>
        <v>Numero de Option con trait X Antibody restantes en Deck.</v>
      </c>
      <c r="B5" s="7">
        <v>10.0</v>
      </c>
    </row>
    <row r="6">
      <c r="A6" s="7" t="str">
        <f>IF(C2="Robo Natural", "Robas 1 Carta.", "Número de cartas reveladas.")</f>
        <v>Número de cartas reveladas.</v>
      </c>
      <c r="B6" s="5">
        <f>IF(B1="Cool Boy", 3, IF(B1="Memory Boost", 4, IF(B1="Memory Boost Dual", 3, IF(B1="Training" , 2,IF(B1= "Robo Natural" , 1, B2)))))</f>
        <v>3</v>
      </c>
    </row>
    <row r="7">
      <c r="A7" s="5"/>
      <c r="B7" s="5"/>
    </row>
    <row r="8">
      <c r="A8" s="7" t="s">
        <v>4</v>
      </c>
      <c r="B8" s="5">
        <f>B3 - B4 - B5</f>
        <v>31</v>
      </c>
    </row>
    <row r="9">
      <c r="A9" s="5"/>
      <c r="B9" s="5"/>
    </row>
    <row r="10">
      <c r="A10" s="7" t="str">
        <f>IF(B1="Cool Boy", "Hit Digimon con X Antibody", "Hit tipo 1 de carta")</f>
        <v>Hit Digimon con X Antibody</v>
      </c>
      <c r="B10" s="8">
        <f>IF(B6&gt;0, (1 - COMBIN(B3 - B4, B6) / E1) , 0)</f>
        <v>0.2487667371</v>
      </c>
    </row>
    <row r="11">
      <c r="A11" s="7" t="str">
        <f>IF(B1="Cool Boy", "Hit Option con X Antibody", IF(B1="Elige otro número", "Hit tipo 2 de carta (Si aplica)" , " "))</f>
        <v>Hit Option con X Antibody</v>
      </c>
      <c r="B11" s="8">
        <f>IF(A11= " ", " ", IF(B6&gt;0, (1 - COMBIN(B3 - B5, B6) / E1) , 0))</f>
        <v>0.5387596899</v>
      </c>
    </row>
    <row r="12">
      <c r="A12" s="7" t="str">
        <f>IF(A11= " " , " " , "Doble Hit")</f>
        <v>Doble Hit</v>
      </c>
      <c r="B12" s="8">
        <f>IF(A12= " ", " ", IF(B6&gt;=2,(1 - (COMBIN(B3 - B4, B6) / E1) - (COMBIN(B3 - B5, B6) / E1) + (IF(B3 - B4 - B5 &gt;= B6, COMBIN(B3 - B4 - B5, B6) / E1, 0))) , 0))</f>
        <v>0.104298802</v>
      </c>
    </row>
  </sheetData>
  <conditionalFormatting sqref="B10:B12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2">
    <cfRule type="expression" dxfId="4" priority="2">
      <formula>B1&lt;&gt;"Elige otro número"</formula>
    </cfRule>
  </conditionalFormatting>
  <conditionalFormatting sqref="B5">
    <cfRule type="expression" dxfId="5" priority="3">
      <formula>A5 =" "</formula>
    </cfRule>
  </conditionalFormatting>
  <dataValidations>
    <dataValidation type="list" allowBlank="1" showErrorMessage="1" sqref="B1">
      <formula1>"Cool Boy,Memory Boost,Memory Boost Dual,Training,Elige otro número,Robo Natural"</formula1>
    </dataValidation>
    <dataValidation type="list" allowBlank="1" showErrorMessage="1" sqref="B2">
      <formula1>"1,2,3,4,5,6"</formula1>
    </dataValidation>
  </dataValidations>
  <drawing r:id="rId1"/>
  <tableParts count="1">
    <tablePart r:id="rId3"/>
  </tableParts>
</worksheet>
</file>